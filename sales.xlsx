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42AA27F-0590-4246-AFF8-21AEAC9941AC}" xr6:coauthVersionLast="47" xr6:coauthVersionMax="47" xr10:uidLastSave="{00000000-0000-0000-0000-000000000000}"/>
  <bookViews>
    <workbookView xWindow="11424" yWindow="0" windowWidth="11712" windowHeight="12336" activeTab="2" xr2:uid="{8207D598-36D4-492D-92FD-BF944242F5C9}"/>
  </bookViews>
  <sheets>
    <sheet name="Pivot " sheetId="4" r:id="rId1"/>
    <sheet name="Sheet1" sheetId="1" r:id="rId2"/>
    <sheet name="Dashboard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<sst xmlns="http://schemas.openxmlformats.org/spreadsheetml/2006/main" count="47" uniqueCount="35">
  <si>
    <t>Order Date</t>
  </si>
  <si>
    <t>Category</t>
  </si>
  <si>
    <t>Product</t>
  </si>
  <si>
    <t>Sales</t>
  </si>
  <si>
    <t>Profit</t>
  </si>
  <si>
    <t>Technology</t>
  </si>
  <si>
    <t>Laptop</t>
  </si>
  <si>
    <t>Furniture</t>
  </si>
  <si>
    <t>Chair</t>
  </si>
  <si>
    <t>Office Supplies</t>
  </si>
  <si>
    <t>Notebook</t>
  </si>
  <si>
    <t>Mobile</t>
  </si>
  <si>
    <t>Table</t>
  </si>
  <si>
    <t>Pen</t>
  </si>
  <si>
    <t>Headphones</t>
  </si>
  <si>
    <t>Sofa</t>
  </si>
  <si>
    <t>Files</t>
  </si>
  <si>
    <t>Tablet</t>
  </si>
  <si>
    <t>Bed</t>
  </si>
  <si>
    <t>Markers</t>
  </si>
  <si>
    <t>Smartwatch</t>
  </si>
  <si>
    <t>Cupboard</t>
  </si>
  <si>
    <t>Stapler</t>
  </si>
  <si>
    <t>Sum of Sales</t>
  </si>
  <si>
    <t>Row Labels</t>
  </si>
  <si>
    <t>Grand Total</t>
  </si>
  <si>
    <t>Month</t>
  </si>
  <si>
    <t>Jan</t>
  </si>
  <si>
    <t>Feb</t>
  </si>
  <si>
    <t>Apr</t>
  </si>
  <si>
    <t>May</t>
  </si>
  <si>
    <t>Jul</t>
  </si>
  <si>
    <t>Mar</t>
  </si>
  <si>
    <t>Jun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</si>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</sst>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36"/>
      <color theme="1"/>
      <name val="Gill Sans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'!$B$4:$B$11</c:f>
              <c:numCache>
                <c:formatCode>General</c:formatCode>
                <c:ptCount val="7"/>
                <c:pt idx="0">
                  <c:v>60000</c:v>
                </c:pt>
                <c:pt idx="1">
                  <c:v>45000</c:v>
                </c:pt>
                <c:pt idx="2">
                  <c:v>5000</c:v>
                </c:pt>
                <c:pt idx="3">
                  <c:v>26500</c:v>
                </c:pt>
                <c:pt idx="4">
                  <c:v>50000</c:v>
                </c:pt>
                <c:pt idx="5">
                  <c:v>8200</c:v>
                </c:pt>
                <c:pt idx="6">
                  <c:v>28800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0-4A32-ADD0-AB7C68FA7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559072"/>
        <c:axId val="299558592"/>
      </c:lineChart>
      <c:catAx>
        <c:axId val="2995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8592"/>
        <c:crosses val="autoZero"/>
        <c:auto val="1"/>
        <c:lblAlgn val="ctr"/>
        <c:lblOffset val="100"/>
        <c:noMultiLvlLbl val="0"/>
      </c:catAx>
      <c:valAx>
        <c:axId val="2995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'!$B$4:$B$11</c:f>
              <c:numCache>
                <c:formatCode>General</c:formatCode>
                <c:ptCount val="7"/>
                <c:pt idx="0">
                  <c:v>60000</c:v>
                </c:pt>
                <c:pt idx="1">
                  <c:v>45000</c:v>
                </c:pt>
                <c:pt idx="2">
                  <c:v>5000</c:v>
                </c:pt>
                <c:pt idx="3">
                  <c:v>26500</c:v>
                </c:pt>
                <c:pt idx="4">
                  <c:v>50000</c:v>
                </c:pt>
                <c:pt idx="5">
                  <c:v>8200</c:v>
                </c:pt>
                <c:pt idx="6">
                  <c:v>28800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C-4473-B22B-573470D3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555232"/>
        <c:axId val="299557152"/>
      </c:barChart>
      <c:catAx>
        <c:axId val="29955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7152"/>
        <c:crosses val="autoZero"/>
        <c:auto val="1"/>
        <c:lblAlgn val="ctr"/>
        <c:lblOffset val="100"/>
        <c:noMultiLvlLbl val="0"/>
      </c:catAx>
      <c:valAx>
        <c:axId val="2995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'!$B$4:$B$11</c:f>
              <c:numCache>
                <c:formatCode>General</c:formatCode>
                <c:ptCount val="7"/>
                <c:pt idx="0">
                  <c:v>60000</c:v>
                </c:pt>
                <c:pt idx="1">
                  <c:v>45000</c:v>
                </c:pt>
                <c:pt idx="2">
                  <c:v>5000</c:v>
                </c:pt>
                <c:pt idx="3">
                  <c:v>26500</c:v>
                </c:pt>
                <c:pt idx="4">
                  <c:v>50000</c:v>
                </c:pt>
                <c:pt idx="5">
                  <c:v>8200</c:v>
                </c:pt>
                <c:pt idx="6">
                  <c:v>28800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C69-456C-BFE1-161DDBCF7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'!$B$4:$B$11</c:f>
              <c:numCache>
                <c:formatCode>General</c:formatCode>
                <c:ptCount val="7"/>
                <c:pt idx="0">
                  <c:v>60000</c:v>
                </c:pt>
                <c:pt idx="1">
                  <c:v>45000</c:v>
                </c:pt>
                <c:pt idx="2">
                  <c:v>5000</c:v>
                </c:pt>
                <c:pt idx="3">
                  <c:v>26500</c:v>
                </c:pt>
                <c:pt idx="4">
                  <c:v>50000</c:v>
                </c:pt>
                <c:pt idx="5">
                  <c:v>8200</c:v>
                </c:pt>
                <c:pt idx="6">
                  <c:v>28800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7-4859-808E-23E6F9429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559072"/>
        <c:axId val="299558592"/>
      </c:lineChart>
      <c:catAx>
        <c:axId val="2995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8592"/>
        <c:crosses val="autoZero"/>
        <c:auto val="1"/>
        <c:lblAlgn val="ctr"/>
        <c:lblOffset val="100"/>
        <c:noMultiLvlLbl val="0"/>
      </c:catAx>
      <c:valAx>
        <c:axId val="2995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'!$B$4:$B$11</c:f>
              <c:numCache>
                <c:formatCode>General</c:formatCode>
                <c:ptCount val="7"/>
                <c:pt idx="0">
                  <c:v>60000</c:v>
                </c:pt>
                <c:pt idx="1">
                  <c:v>45000</c:v>
                </c:pt>
                <c:pt idx="2">
                  <c:v>5000</c:v>
                </c:pt>
                <c:pt idx="3">
                  <c:v>26500</c:v>
                </c:pt>
                <c:pt idx="4">
                  <c:v>50000</c:v>
                </c:pt>
                <c:pt idx="5">
                  <c:v>8200</c:v>
                </c:pt>
                <c:pt idx="6">
                  <c:v>28800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7-43FE-906B-61D5000C5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555232"/>
        <c:axId val="299557152"/>
      </c:barChart>
      <c:catAx>
        <c:axId val="29955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7152"/>
        <c:crosses val="autoZero"/>
        <c:auto val="1"/>
        <c:lblAlgn val="ctr"/>
        <c:lblOffset val="100"/>
        <c:noMultiLvlLbl val="0"/>
      </c:catAx>
      <c:valAx>
        <c:axId val="2995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'!$B$4:$B$11</c:f>
              <c:numCache>
                <c:formatCode>General</c:formatCode>
                <c:ptCount val="7"/>
                <c:pt idx="0">
                  <c:v>60000</c:v>
                </c:pt>
                <c:pt idx="1">
                  <c:v>45000</c:v>
                </c:pt>
                <c:pt idx="2">
                  <c:v>5000</c:v>
                </c:pt>
                <c:pt idx="3">
                  <c:v>26500</c:v>
                </c:pt>
                <c:pt idx="4">
                  <c:v>50000</c:v>
                </c:pt>
                <c:pt idx="5">
                  <c:v>8200</c:v>
                </c:pt>
                <c:pt idx="6">
                  <c:v>28800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C3E-47F1-B882-A1C14468C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312426</xdr:colOff>
      <xdr:row>0</xdr:row>
      <xdr:rowOff>167640</xdr:rowOff>
    </xdr:from>
    <xdr:to>
      <xdr:col>6</xdr:col>
      <xdr:colOff>495300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219D4-7016-EFA1-9AED-2026FB128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137160</xdr:colOff>
      <xdr:row>1</xdr:row>
      <xdr:rowOff>30480</xdr:rowOff>
    </xdr:from>
    <xdr:to>
      <xdr:col>13</xdr:col>
      <xdr:colOff>342900</xdr:colOff>
      <xdr:row>15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6171C-681F-B843-1ADC-5F076A84E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160020</xdr:colOff>
      <xdr:row>15</xdr:row>
      <xdr:rowOff>83820</xdr:rowOff>
    </xdr:from>
    <xdr:to>
      <xdr:col>9</xdr:col>
      <xdr:colOff>403860</xdr:colOff>
      <xdr:row>29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AEECAF-8E47-18B5-CC36-870D898FD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5</xdr:row>
      <xdr:rowOff>45720</xdr:rowOff>
    </xdr:from>
    <xdr:to>
      <xdr:col>3</xdr:col>
      <xdr:colOff>175260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3568D-6CCA-465B-A5E3-4D6D48AC5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5</xdr:row>
      <xdr:rowOff>83820</xdr:rowOff>
    </xdr:from>
    <xdr:to>
      <xdr:col>14</xdr:col>
      <xdr:colOff>228600</xdr:colOff>
      <xdr:row>21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DF2B1-5564-406F-94FB-C4E4948A4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289560</xdr:colOff>
      <xdr:row>5</xdr:row>
      <xdr:rowOff>60960</xdr:rowOff>
    </xdr:from>
    <xdr:to>
      <xdr:col>8</xdr:col>
      <xdr:colOff>388620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B4F93B-D3ED-4088-A6F5-287AA21B0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Dhumal" refreshedDate="46143.539844675928" createdVersion="8" refreshedVersion="8" minRefreshableVersion="3" recordCount="16" xr:uid="{49025662-F7F4-4C87-AD38-21448DD1EBA0}">
  <cacheSource type="worksheet">
    <worksheetSource ref="A1:F1048576" sheet="Sheet1"/>
  </cacheSource>
  <cacheFields count="6">
    <cacheField name="Order Date" numFmtId="0">
      <sharedItems containsNonDate="0" containsDate="1" containsString="0" containsBlank="1" minDate="2024-01-01T00:00:00" maxDate="2024-07-31T00:00:00"/>
    </cacheField>
    <cacheField name="Category" numFmtId="0">
      <sharedItems containsBlank="1" count="4">
        <s v="Technology"/>
        <s v="Furniture"/>
        <s v="Office Supplies"/>
        <m/>
      </sharedItems>
    </cacheField>
    <cacheField name="Product" numFmtId="0">
      <sharedItems containsBlank="1"/>
    </cacheField>
    <cacheField name="Sales" numFmtId="0">
      <sharedItems containsString="0" containsBlank="1" containsNumber="1" containsInteger="1" minValue="800" maxValue="50000"/>
    </cacheField>
    <cacheField name="Profit" numFmtId="0">
      <sharedItems containsString="0" containsBlank="1" containsNumber="1" containsInteger="1" minValue="150" maxValue="8000"/>
    </cacheField>
    <cacheField name="Month" numFmtId="0">
      <sharedItems containsBlank="1" count="8">
        <s v="Jan"/>
        <s v="Feb"/>
        <s v="Mar"/>
        <s v="Apr"/>
        <s v="May"/>
        <s v="Jun"/>
        <s v="Ju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4-01-01T00:00:00"/>
    <x v="0"/>
    <s v="Laptop"/>
    <n v="50000"/>
    <n v="8000"/>
    <x v="0"/>
  </r>
  <r>
    <d v="2024-01-05T00:00:00"/>
    <x v="1"/>
    <s v="Chair"/>
    <n v="8000"/>
    <n v="1200"/>
    <x v="0"/>
  </r>
  <r>
    <d v="2024-01-10T00:00:00"/>
    <x v="2"/>
    <s v="Notebook"/>
    <n v="2000"/>
    <n v="500"/>
    <x v="0"/>
  </r>
  <r>
    <d v="2024-02-15T00:00:00"/>
    <x v="0"/>
    <s v="Mobile"/>
    <n v="30000"/>
    <n v="6000"/>
    <x v="1"/>
  </r>
  <r>
    <d v="2024-02-20T00:00:00"/>
    <x v="1"/>
    <s v="Table"/>
    <n v="15000"/>
    <n v="2500"/>
    <x v="1"/>
  </r>
  <r>
    <d v="2024-03-05T00:00:00"/>
    <x v="2"/>
    <s v="Pen"/>
    <n v="1000"/>
    <n v="200"/>
    <x v="2"/>
  </r>
  <r>
    <d v="2024-03-12T00:00:00"/>
    <x v="0"/>
    <s v="Headphones"/>
    <n v="4000"/>
    <n v="900"/>
    <x v="2"/>
  </r>
  <r>
    <d v="2024-04-18T00:00:00"/>
    <x v="1"/>
    <s v="Sofa"/>
    <n v="25000"/>
    <n v="4000"/>
    <x v="3"/>
  </r>
  <r>
    <d v="2024-04-22T00:00:00"/>
    <x v="2"/>
    <s v="Files"/>
    <n v="1500"/>
    <n v="300"/>
    <x v="3"/>
  </r>
  <r>
    <d v="2024-05-01T00:00:00"/>
    <x v="0"/>
    <s v="Tablet"/>
    <n v="20000"/>
    <n v="3500"/>
    <x v="4"/>
  </r>
  <r>
    <d v="2024-05-10T00:00:00"/>
    <x v="1"/>
    <s v="Bed"/>
    <n v="30000"/>
    <n v="5000"/>
    <x v="4"/>
  </r>
  <r>
    <d v="2024-06-15T00:00:00"/>
    <x v="2"/>
    <s v="Markers"/>
    <n v="1200"/>
    <n v="250"/>
    <x v="5"/>
  </r>
  <r>
    <d v="2024-06-20T00:00:00"/>
    <x v="0"/>
    <s v="Smartwatch"/>
    <n v="7000"/>
    <n v="1500"/>
    <x v="5"/>
  </r>
  <r>
    <d v="2024-07-25T00:00:00"/>
    <x v="1"/>
    <s v="Cupboard"/>
    <n v="28000"/>
    <n v="4500"/>
    <x v="6"/>
  </r>
  <r>
    <d v="2024-07-30T00:00:00"/>
    <x v="2"/>
    <s v="Stapler"/>
    <n v="800"/>
    <n v="150"/>
    <x v="6"/>
  </r>
  <r>
    <m/>
    <x v="3"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A349C-D71F-4F6C-A47A-C0F68B86FA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1" firstHeaderRow="1" firstDataRow="1" firstDataCol="1"/>
  <pivotFields count="6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3" baseField="0" baseItem="0"/>
  </dataFields>
  <chartFormats count="6">
    <chartFormat chart="16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FF6B-D140-414C-999A-6C10C963D0D4}">
  <dimension ref="A3:B11"/>
  <sheetViews>
    <sheetView workbookViewId="0">
      <selection activeCell="N25" sqref="N2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24</v>
      </c>
      <c r="B3" t="s">
        <v>23</v>
      </c>
    </row>
    <row r="4" spans="1:2" x14ac:dyDescent="0.3">
      <c r="A4" s="1" t="s">
        <v>27</v>
      </c>
      <c r="B4" s="4">
        <v>60000</v>
      </c>
    </row>
    <row r="5" spans="1:2" x14ac:dyDescent="0.3">
      <c r="A5" s="1" t="s">
        <v>28</v>
      </c>
      <c r="B5" s="4">
        <v>45000</v>
      </c>
    </row>
    <row r="6" spans="1:2" x14ac:dyDescent="0.3">
      <c r="A6" s="1" t="s">
        <v>32</v>
      </c>
      <c r="B6" s="4">
        <v>5000</v>
      </c>
    </row>
    <row r="7" spans="1:2" x14ac:dyDescent="0.3">
      <c r="A7" s="1" t="s">
        <v>29</v>
      </c>
      <c r="B7" s="4">
        <v>26500</v>
      </c>
    </row>
    <row r="8" spans="1:2" x14ac:dyDescent="0.3">
      <c r="A8" s="1" t="s">
        <v>30</v>
      </c>
      <c r="B8" s="4">
        <v>50000</v>
      </c>
    </row>
    <row r="9" spans="1:2" x14ac:dyDescent="0.3">
      <c r="A9" s="1" t="s">
        <v>33</v>
      </c>
      <c r="B9" s="4">
        <v>8200</v>
      </c>
    </row>
    <row r="10" spans="1:2" x14ac:dyDescent="0.3">
      <c r="A10" s="1" t="s">
        <v>31</v>
      </c>
      <c r="B10" s="4">
        <v>28800</v>
      </c>
    </row>
    <row r="11" spans="1:2" x14ac:dyDescent="0.3">
      <c r="A11" s="1" t="s">
        <v>25</v>
      </c>
      <c r="B11" s="4">
        <v>223500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B5E6-3285-4845-B878-3E277576A39C}">
  <dimension ref="A1:F16"/>
  <sheetViews>
    <sheetView workbookViewId="0">
      <selection activeCell="C23" sqref="A1:XFD1048576"/>
    </sheetView>
  </sheetViews>
  <sheetFormatPr defaultRowHeight="14.4" x14ac:dyDescent="0.3"/>
  <cols>
    <col min="1" max="1" width="13" style="1" customWidth="1"/>
    <col min="2" max="2" width="13.21875" style="1" customWidth="1"/>
    <col min="3" max="3" width="12.6640625" style="1" customWidth="1"/>
    <col min="4" max="4" width="8.77734375" style="1" customWidth="1"/>
    <col min="5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</row>
    <row r="2" spans="1:6" x14ac:dyDescent="0.3">
      <c r="A2" s="2">
        <v>45292</v>
      </c>
      <c r="B2" s="1" t="s">
        <v>5</v>
      </c>
      <c r="C2" s="1" t="s">
        <v>6</v>
      </c>
      <c r="D2" s="1">
        <v>50000</v>
      </c>
      <c r="E2" s="1">
        <v>8000</v>
      </c>
      <c r="F2" s="1" t="str">
        <f>TEXT(A2,"mmm")</f>
        <v>Jan</v>
      </c>
    </row>
    <row r="3" spans="1:6" x14ac:dyDescent="0.3">
      <c r="A3" s="2">
        <v>45296</v>
      </c>
      <c r="B3" s="1" t="s">
        <v>7</v>
      </c>
      <c r="C3" s="1" t="s">
        <v>8</v>
      </c>
      <c r="D3" s="1">
        <v>8000</v>
      </c>
      <c r="E3" s="1">
        <v>1200</v>
      </c>
      <c r="F3" s="1" t="str">
        <f t="shared" ref="F3:F16" si="0">TEXT(A3,"mmm")</f>
        <v>Jan</v>
      </c>
    </row>
    <row r="4" spans="1:6" x14ac:dyDescent="0.3">
      <c r="A4" s="2">
        <v>45301</v>
      </c>
      <c r="B4" s="1" t="s">
        <v>9</v>
      </c>
      <c r="C4" s="1" t="s">
        <v>10</v>
      </c>
      <c r="D4" s="1">
        <v>2000</v>
      </c>
      <c r="E4" s="1">
        <v>500</v>
      </c>
      <c r="F4" s="1" t="str">
        <f t="shared" si="0"/>
        <v>Jan</v>
      </c>
    </row>
    <row r="5" spans="1:6" x14ac:dyDescent="0.3">
      <c r="A5" s="2">
        <v>45337</v>
      </c>
      <c r="B5" s="1" t="s">
        <v>5</v>
      </c>
      <c r="C5" s="1" t="s">
        <v>11</v>
      </c>
      <c r="D5" s="1">
        <v>30000</v>
      </c>
      <c r="E5" s="1">
        <v>6000</v>
      </c>
      <c r="F5" s="1" t="str">
        <f t="shared" si="0"/>
        <v>Feb</v>
      </c>
    </row>
    <row r="6" spans="1:6" x14ac:dyDescent="0.3">
      <c r="A6" s="2">
        <v>45342</v>
      </c>
      <c r="B6" s="1" t="s">
        <v>7</v>
      </c>
      <c r="C6" s="1" t="s">
        <v>12</v>
      </c>
      <c r="D6" s="1">
        <v>15000</v>
      </c>
      <c r="E6" s="1">
        <v>2500</v>
      </c>
      <c r="F6" s="1" t="str">
        <f t="shared" si="0"/>
        <v>Feb</v>
      </c>
    </row>
    <row r="7" spans="1:6" x14ac:dyDescent="0.3">
      <c r="A7" s="2">
        <v>45356</v>
      </c>
      <c r="B7" s="1" t="s">
        <v>9</v>
      </c>
      <c r="C7" s="1" t="s">
        <v>13</v>
      </c>
      <c r="D7" s="1">
        <v>1000</v>
      </c>
      <c r="E7" s="1">
        <v>200</v>
      </c>
      <c r="F7" s="1" t="str">
        <f t="shared" si="0"/>
        <v>Mar</v>
      </c>
    </row>
    <row r="8" spans="1:6" x14ac:dyDescent="0.3">
      <c r="A8" s="2">
        <v>45363</v>
      </c>
      <c r="B8" s="1" t="s">
        <v>5</v>
      </c>
      <c r="C8" s="1" t="s">
        <v>14</v>
      </c>
      <c r="D8" s="1">
        <v>4000</v>
      </c>
      <c r="E8" s="1">
        <v>900</v>
      </c>
      <c r="F8" s="1" t="str">
        <f t="shared" si="0"/>
        <v>Mar</v>
      </c>
    </row>
    <row r="9" spans="1:6" x14ac:dyDescent="0.3">
      <c r="A9" s="2">
        <v>45400</v>
      </c>
      <c r="B9" s="1" t="s">
        <v>7</v>
      </c>
      <c r="C9" s="1" t="s">
        <v>15</v>
      </c>
      <c r="D9" s="1">
        <v>25000</v>
      </c>
      <c r="E9" s="1">
        <v>4000</v>
      </c>
      <c r="F9" s="1" t="str">
        <f t="shared" si="0"/>
        <v>Apr</v>
      </c>
    </row>
    <row r="10" spans="1:6" x14ac:dyDescent="0.3">
      <c r="A10" s="2">
        <v>45404</v>
      </c>
      <c r="B10" s="1" t="s">
        <v>9</v>
      </c>
      <c r="C10" s="1" t="s">
        <v>16</v>
      </c>
      <c r="D10" s="1">
        <v>1500</v>
      </c>
      <c r="E10" s="1">
        <v>300</v>
      </c>
      <c r="F10" s="1" t="str">
        <f t="shared" si="0"/>
        <v>Apr</v>
      </c>
    </row>
    <row r="11" spans="1:6" x14ac:dyDescent="0.3">
      <c r="A11" s="2">
        <v>45413</v>
      </c>
      <c r="B11" s="1" t="s">
        <v>5</v>
      </c>
      <c r="C11" s="1" t="s">
        <v>17</v>
      </c>
      <c r="D11" s="1">
        <v>20000</v>
      </c>
      <c r="E11" s="1">
        <v>3500</v>
      </c>
      <c r="F11" s="1" t="str">
        <f t="shared" si="0"/>
        <v>May</v>
      </c>
    </row>
    <row r="12" spans="1:6" x14ac:dyDescent="0.3">
      <c r="A12" s="2">
        <v>45422</v>
      </c>
      <c r="B12" s="1" t="s">
        <v>7</v>
      </c>
      <c r="C12" s="1" t="s">
        <v>18</v>
      </c>
      <c r="D12" s="1">
        <v>30000</v>
      </c>
      <c r="E12" s="1">
        <v>5000</v>
      </c>
      <c r="F12" s="1" t="str">
        <f t="shared" si="0"/>
        <v>May</v>
      </c>
    </row>
    <row r="13" spans="1:6" x14ac:dyDescent="0.3">
      <c r="A13" s="2">
        <v>45458</v>
      </c>
      <c r="B13" s="1" t="s">
        <v>9</v>
      </c>
      <c r="C13" s="1" t="s">
        <v>19</v>
      </c>
      <c r="D13" s="1">
        <v>1200</v>
      </c>
      <c r="E13" s="1">
        <v>250</v>
      </c>
      <c r="F13" s="1" t="str">
        <f t="shared" si="0"/>
        <v>Jun</v>
      </c>
    </row>
    <row r="14" spans="1:6" x14ac:dyDescent="0.3">
      <c r="A14" s="2">
        <v>45463</v>
      </c>
      <c r="B14" s="1" t="s">
        <v>5</v>
      </c>
      <c r="C14" s="1" t="s">
        <v>20</v>
      </c>
      <c r="D14" s="1">
        <v>7000</v>
      </c>
      <c r="E14" s="1">
        <v>1500</v>
      </c>
      <c r="F14" s="1" t="str">
        <f t="shared" si="0"/>
        <v>Jun</v>
      </c>
    </row>
    <row r="15" spans="1:6" x14ac:dyDescent="0.3">
      <c r="A15" s="2">
        <v>45498</v>
      </c>
      <c r="B15" s="1" t="s">
        <v>7</v>
      </c>
      <c r="C15" s="1" t="s">
        <v>21</v>
      </c>
      <c r="D15" s="1">
        <v>28000</v>
      </c>
      <c r="E15" s="1">
        <v>4500</v>
      </c>
      <c r="F15" s="1" t="str">
        <f t="shared" si="0"/>
        <v>Jul</v>
      </c>
    </row>
    <row r="16" spans="1:6" x14ac:dyDescent="0.3">
      <c r="A16" s="2">
        <v>45503</v>
      </c>
      <c r="B16" s="1" t="s">
        <v>9</v>
      </c>
      <c r="C16" s="1" t="s">
        <v>22</v>
      </c>
      <c r="D16" s="1">
        <v>800</v>
      </c>
      <c r="E16" s="1">
        <v>150</v>
      </c>
      <c r="F16" s="1" t="str">
        <f t="shared" si="0"/>
        <v>Jul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EDFD-D51A-4E84-8BE0-B1A93539D295}">
  <dimension ref="A1:P2"/>
  <sheetViews>
    <sheetView tabSelected="1" topLeftCell="D1" workbookViewId="0">
      <selection activeCell="G5" sqref="G5"/>
    </sheetView>
  </sheetViews>
  <sheetFormatPr defaultRowHeight="14.4" x14ac:dyDescent="0.3"/>
  <cols>
    <col min="1" max="1" width="26.5546875" customWidth="1"/>
  </cols>
  <sheetData>
    <row r="1" spans="1:16" ht="51.6" customHeight="1" x14ac:dyDescent="0.3">
      <c r="A1" s="5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</sheetData>
  <mergeCells count="1">
    <mergeCell ref="A1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Dhumal</dc:creator>
  <cp:lastModifiedBy>Sakshi Dhumal</cp:lastModifiedBy>
  <dcterms:created xsi:type="dcterms:W3CDTF">2026-05-01T07:15:08Z</dcterms:created>
  <dcterms:modified xsi:type="dcterms:W3CDTF">2026-05-01T15:20:41Z</dcterms:modified>
</cp:coreProperties>
</file>